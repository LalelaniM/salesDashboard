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PTEMBER Target 25-1-1" sheetId="1" state="visible" r:id="rId3"/>
    <sheet name="Roster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<sst xmlns="http://schemas.openxmlformats.org/spreadsheetml/2006/main" count="77" uniqueCount="30">
  <si>
    <t xml:space="preserve">Table 1</t>
  </si>
  <si>
    <t xml:space="preserve">TEAM Target Sheet </t>
  </si>
  <si>
    <t xml:space="preserve">MONTH</t>
  </si>
  <si>
    <t xml:space="preserve">DAY</t>
  </si>
  <si>
    <t xml:space="preserve">DATE</t>
  </si>
  <si>
    <t xml:space="preserve">Store Target</t>
  </si>
  <si>
    <t xml:space="preserve">Individual Target</t>
  </si>
  <si>
    <t xml:space="preserve">Weekly Target</t>
  </si>
  <si>
    <t xml:space="preserve">Notes</t>
  </si>
  <si>
    <t xml:space="preserve">TUESDAY </t>
  </si>
  <si>
    <t xml:space="preserve">WEDNESDAY </t>
  </si>
  <si>
    <t xml:space="preserve">THURSDAY</t>
  </si>
  <si>
    <t xml:space="preserve">FRIDAY</t>
  </si>
  <si>
    <t xml:space="preserve">SATURDAY</t>
  </si>
  <si>
    <t xml:space="preserve">SUNDAY</t>
  </si>
  <si>
    <t xml:space="preserve">MONDAY</t>
  </si>
  <si>
    <t xml:space="preserve">TUESDAY</t>
  </si>
  <si>
    <t xml:space="preserve">Total MTD</t>
  </si>
  <si>
    <t xml:space="preserve">Daily difference</t>
  </si>
  <si>
    <t xml:space="preserve">Monthly Difference</t>
  </si>
  <si>
    <t xml:space="preserve">% 2 Target</t>
  </si>
  <si>
    <t xml:space="preserve">Tue</t>
  </si>
  <si>
    <t xml:space="preserve">Wed </t>
  </si>
  <si>
    <t xml:space="preserve">Thur</t>
  </si>
  <si>
    <t xml:space="preserve">Fri</t>
  </si>
  <si>
    <t xml:space="preserve">Sat</t>
  </si>
  <si>
    <t xml:space="preserve">Sun</t>
  </si>
  <si>
    <t xml:space="preserve">Mon</t>
  </si>
  <si>
    <t xml:space="preserve">Date</t>
  </si>
  <si>
    <t xml:space="preserve"># Team on shift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</si>
</sst>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/mm/dd"/>
    <numFmt numFmtId="167" formatCode="[$R-1C09]0.00"/>
    <numFmt numFmtId="168" formatCode="_-[$R-1C09]* #,##0.00_-;_-[$R-1C09]* \(#,##0.00\)_-;_-[$R-1C09]* \-??;_-@_-"/>
    <numFmt numFmtId="169" formatCode="0.0%"/>
  </numFmts>
  <fonts count="17">
    <font>
      <sz val="12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name val="Calibri"/>
      <family val="0"/>
      <charset val="1"/>
    </font>
    <font>
      <sz val="28"/>
      <name val="Calibri"/>
      <family val="0"/>
      <charset val="1"/>
    </font>
    <font>
      <b val="true"/>
      <sz val="12"/>
      <name val="Calibri"/>
      <family val="0"/>
      <charset val="1"/>
    </font>
    <font>
      <sz val="16"/>
      <name val="Calibri"/>
      <family val="0"/>
      <charset val="1"/>
    </font>
    <font>
      <b val="true"/>
      <sz val="16"/>
      <name val="Calibri"/>
      <family val="0"/>
      <charset val="1"/>
    </font>
    <font>
      <b val="true"/>
      <sz val="3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7"/>
      <name val="Calibri"/>
      <family val="0"/>
      <charset val="1"/>
    </font>
    <font>
      <sz val="17"/>
      <name val="Calibri"/>
      <family val="0"/>
      <charset val="1"/>
    </font>
    <font>
      <b val="true"/>
      <sz val="18"/>
      <name val="Calibri"/>
      <family val="0"/>
      <charset val="1"/>
    </font>
    <font>
      <b val="true"/>
      <sz val="13"/>
      <name val="Calibri"/>
      <family val="0"/>
      <charset val="1"/>
    </font>
    <font>
      <sz val="13"/>
      <name val="Calibri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ck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thick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37" activeCellId="0" sqref="C37"/>
    </sheetView>
  </sheetViews>
  <sheetFormatPr defaultColWidth="16.35546875" defaultRowHeight="16.6" customHeight="true" zeroHeight="false" outlineLevelRow="0" outlineLevelCol="0"/>
  <cols>
    <col collapsed="false" customWidth="true" hidden="false" outlineLevel="0" max="1" min="1" style="1" width="20.9"/>
    <col collapsed="false" customWidth="true" hidden="false" outlineLevel="0" max="9" min="2" style="1" width="17.62"/>
    <col collapsed="false" customWidth="false" hidden="false" outlineLevel="0" max="16384" min="10" style="1" width="16.35"/>
  </cols>
  <sheetData>
    <row r="1" customFormat="false" ht="15.5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35.95" hidden="false" customHeight="true" outlineLevel="0" collapsed="false">
      <c r="A2" s="3" t="s">
        <v>1</v>
      </c>
      <c r="B2" s="3"/>
      <c r="C2" s="4"/>
      <c r="D2" s="5"/>
      <c r="E2" s="5"/>
      <c r="F2" s="6" t="s">
        <v>2</v>
      </c>
      <c r="G2" s="7" t="n">
        <v>46235</v>
      </c>
      <c r="H2" s="8"/>
      <c r="I2" s="9"/>
    </row>
    <row r="3" customFormat="false" ht="35.95" hidden="false" customHeight="true" outlineLevel="0" collapsed="false">
      <c r="A3" s="10"/>
      <c r="B3" s="11" t="n">
        <v>1500000</v>
      </c>
      <c r="C3" s="11"/>
      <c r="D3" s="11"/>
      <c r="E3" s="11"/>
      <c r="F3" s="11"/>
      <c r="G3" s="11"/>
      <c r="H3" s="11"/>
      <c r="I3" s="11"/>
    </row>
    <row r="4" customFormat="false" ht="35.5" hidden="false" customHeight="true" outlineLevel="0" collapsed="false">
      <c r="A4" s="12" t="s">
        <v>3</v>
      </c>
      <c r="B4" s="13" t="s">
        <v>4</v>
      </c>
      <c r="C4" s="14" t="s">
        <v>5</v>
      </c>
      <c r="D4" s="15" t="s">
        <v>6</v>
      </c>
      <c r="E4" s="14" t="s">
        <v>7</v>
      </c>
      <c r="F4" s="13" t="s">
        <v>8</v>
      </c>
      <c r="G4" s="13"/>
      <c r="H4" s="16"/>
      <c r="I4" s="17"/>
    </row>
    <row r="5" customFormat="false" ht="35.5" hidden="false" customHeight="true" outlineLevel="0" collapsed="false">
      <c r="A5" s="18" t="s">
        <v>9</v>
      </c>
      <c r="B5" s="19" t="n">
        <v>1</v>
      </c>
      <c r="C5" s="20" t="n">
        <v>30000</v>
      </c>
      <c r="D5" s="21" t="n">
        <f aca="false" t="array" ref="D5:D5">C5/Roster!C5</f>
        <v>7500</v>
      </c>
      <c r="E5" s="22"/>
      <c r="F5" s="23"/>
      <c r="G5" s="23"/>
      <c r="H5" s="24"/>
      <c r="I5" s="25"/>
    </row>
    <row r="6" customFormat="false" ht="35.5" hidden="false" customHeight="true" outlineLevel="0" collapsed="false">
      <c r="A6" s="18" t="s">
        <v>10</v>
      </c>
      <c r="B6" s="26" t="n">
        <v>2</v>
      </c>
      <c r="C6" s="20" t="n">
        <v>35000</v>
      </c>
      <c r="D6" s="21" t="n">
        <f aca="false" t="array" ref="D6:D6">C6/Roster!D5</f>
        <v>11666.6666666667</v>
      </c>
      <c r="E6" s="27"/>
      <c r="F6" s="28"/>
      <c r="G6" s="28"/>
      <c r="H6" s="29"/>
      <c r="I6" s="30"/>
    </row>
    <row r="7" customFormat="false" ht="35.5" hidden="false" customHeight="true" outlineLevel="0" collapsed="false">
      <c r="A7" s="31" t="s">
        <v>11</v>
      </c>
      <c r="B7" s="26" t="n">
        <v>3</v>
      </c>
      <c r="C7" s="20" t="n">
        <v>45000</v>
      </c>
      <c r="D7" s="21" t="n">
        <f aca="false" t="array" ref="D7:D7">C7/Roster!E5</f>
        <v>22500</v>
      </c>
      <c r="E7" s="32"/>
      <c r="F7" s="28"/>
      <c r="G7" s="28"/>
      <c r="H7" s="29"/>
      <c r="I7" s="30"/>
    </row>
    <row r="8" customFormat="false" ht="35.5" hidden="false" customHeight="true" outlineLevel="0" collapsed="false">
      <c r="A8" s="33" t="s">
        <v>12</v>
      </c>
      <c r="B8" s="26" t="n">
        <v>4</v>
      </c>
      <c r="C8" s="20" t="n">
        <v>55000</v>
      </c>
      <c r="D8" s="21" t="n">
        <f aca="false" t="array" ref="D8:D8">C8/Roster!F5</f>
        <v>27500</v>
      </c>
      <c r="E8" s="32"/>
      <c r="F8" s="28"/>
      <c r="G8" s="28"/>
      <c r="H8" s="29"/>
      <c r="I8" s="30"/>
    </row>
    <row r="9" customFormat="false" ht="35.5" hidden="false" customHeight="true" outlineLevel="0" collapsed="false">
      <c r="A9" s="18" t="s">
        <v>13</v>
      </c>
      <c r="B9" s="26" t="n">
        <v>5</v>
      </c>
      <c r="C9" s="20" t="n">
        <v>65000</v>
      </c>
      <c r="D9" s="34" t="n">
        <f aca="false" t="array" ref="D9:D9">C9/Roster!G5</f>
        <v>21666.6666666667</v>
      </c>
      <c r="E9" s="32"/>
      <c r="F9" s="28"/>
      <c r="G9" s="28"/>
      <c r="H9" s="29"/>
      <c r="I9" s="30"/>
    </row>
    <row r="10" customFormat="false" ht="35.5" hidden="false" customHeight="true" outlineLevel="0" collapsed="false">
      <c r="A10" s="18" t="s">
        <v>14</v>
      </c>
      <c r="B10" s="26" t="n">
        <v>6</v>
      </c>
      <c r="C10" s="20" t="n">
        <v>60000</v>
      </c>
      <c r="D10" s="34" t="n">
        <f aca="false" t="array" ref="D10:D10">C10/Roster!H5</f>
        <v>30000</v>
      </c>
      <c r="E10" s="32" t="n">
        <f aca="false" t="array" ref="E10:E10">SUM(C5:C10)</f>
        <v>290000</v>
      </c>
      <c r="F10" s="28"/>
      <c r="G10" s="28"/>
      <c r="H10" s="29"/>
      <c r="I10" s="30"/>
    </row>
    <row r="11" customFormat="false" ht="35.5" hidden="false" customHeight="true" outlineLevel="0" collapsed="false">
      <c r="A11" s="18" t="s">
        <v>15</v>
      </c>
      <c r="B11" s="26" t="n">
        <v>7</v>
      </c>
      <c r="C11" s="20" t="n">
        <v>30000</v>
      </c>
      <c r="D11" s="34" t="n">
        <f aca="false" t="array" ref="D11:D11">C11/Roster!I5</f>
        <v>15000</v>
      </c>
      <c r="E11" s="35"/>
      <c r="F11" s="28"/>
      <c r="G11" s="28"/>
      <c r="H11" s="29"/>
      <c r="I11" s="30"/>
    </row>
    <row r="12" customFormat="false" ht="35.5" hidden="false" customHeight="true" outlineLevel="0" collapsed="false">
      <c r="A12" s="18" t="s">
        <v>16</v>
      </c>
      <c r="B12" s="26" t="n">
        <v>8</v>
      </c>
      <c r="C12" s="20" t="n">
        <v>25000</v>
      </c>
      <c r="D12" s="21" t="n">
        <f aca="false" t="array" ref="D12:D12">C12/Roster!J5</f>
        <v>12500</v>
      </c>
      <c r="E12" s="27"/>
      <c r="F12" s="28"/>
      <c r="G12" s="28"/>
      <c r="H12" s="29"/>
      <c r="I12" s="30"/>
    </row>
    <row r="13" customFormat="false" ht="35.5" hidden="false" customHeight="true" outlineLevel="0" collapsed="false">
      <c r="A13" s="18" t="s">
        <v>10</v>
      </c>
      <c r="B13" s="26" t="n">
        <v>9</v>
      </c>
      <c r="C13" s="20" t="n">
        <v>35000</v>
      </c>
      <c r="D13" s="21" t="n">
        <f aca="false" t="array" ref="D13:D13">C13/Roster!K5</f>
        <v>35000</v>
      </c>
      <c r="E13" s="22"/>
      <c r="F13" s="28"/>
      <c r="G13" s="28"/>
      <c r="H13" s="29"/>
      <c r="I13" s="30"/>
    </row>
    <row r="14" customFormat="false" ht="35.5" hidden="false" customHeight="true" outlineLevel="0" collapsed="false">
      <c r="A14" s="31" t="s">
        <v>11</v>
      </c>
      <c r="B14" s="26" t="n">
        <v>10</v>
      </c>
      <c r="C14" s="20" t="n">
        <v>40000</v>
      </c>
      <c r="D14" s="21" t="n">
        <f aca="false" t="array" ref="D14:D14">C14/Roster!L5</f>
        <v>20000</v>
      </c>
      <c r="E14" s="32"/>
      <c r="F14" s="28"/>
      <c r="G14" s="28"/>
      <c r="H14" s="29"/>
      <c r="I14" s="30"/>
    </row>
    <row r="15" customFormat="false" ht="35.5" hidden="false" customHeight="true" outlineLevel="0" collapsed="false">
      <c r="A15" s="33" t="s">
        <v>12</v>
      </c>
      <c r="B15" s="26" t="n">
        <v>11</v>
      </c>
      <c r="C15" s="20" t="n">
        <v>55000</v>
      </c>
      <c r="D15" s="21" t="n">
        <f aca="false" t="array" ref="D15:D15">C15/Roster!M5</f>
        <v>13750</v>
      </c>
      <c r="E15" s="32"/>
      <c r="F15" s="28"/>
      <c r="G15" s="28"/>
      <c r="H15" s="29"/>
      <c r="I15" s="30"/>
    </row>
    <row r="16" customFormat="false" ht="35.5" hidden="false" customHeight="true" outlineLevel="0" collapsed="false">
      <c r="A16" s="18" t="s">
        <v>13</v>
      </c>
      <c r="B16" s="26" t="n">
        <v>12</v>
      </c>
      <c r="C16" s="20" t="n">
        <v>65000</v>
      </c>
      <c r="D16" s="34" t="n">
        <f aca="false" t="array" ref="D16:D16">C16/Roster!N5</f>
        <v>21666.6666666667</v>
      </c>
      <c r="E16" s="32"/>
      <c r="F16" s="28"/>
      <c r="G16" s="28"/>
      <c r="H16" s="29"/>
      <c r="I16" s="30"/>
    </row>
    <row r="17" customFormat="false" ht="35.5" hidden="false" customHeight="true" outlineLevel="0" collapsed="false">
      <c r="A17" s="18" t="s">
        <v>14</v>
      </c>
      <c r="B17" s="26" t="n">
        <v>13</v>
      </c>
      <c r="C17" s="20" t="n">
        <v>60000</v>
      </c>
      <c r="D17" s="34" t="n">
        <f aca="false" t="array" ref="D17:D17">C17/Roster!O5</f>
        <v>15000</v>
      </c>
      <c r="E17" s="32" t="n">
        <f aca="false" t="array" ref="E17:E17">SUM(C11:C17)</f>
        <v>310000</v>
      </c>
      <c r="F17" s="28"/>
      <c r="G17" s="28"/>
      <c r="H17" s="29"/>
      <c r="I17" s="30"/>
    </row>
    <row r="18" customFormat="false" ht="35.5" hidden="false" customHeight="true" outlineLevel="0" collapsed="false">
      <c r="A18" s="18" t="s">
        <v>15</v>
      </c>
      <c r="B18" s="26" t="n">
        <v>14</v>
      </c>
      <c r="C18" s="20" t="n">
        <v>40000</v>
      </c>
      <c r="D18" s="34" t="n">
        <f aca="false" t="array" ref="D18:D18">C18/Roster!P5</f>
        <v>13333.3333333333</v>
      </c>
      <c r="E18" s="36"/>
      <c r="F18" s="28"/>
      <c r="G18" s="28"/>
      <c r="H18" s="29"/>
      <c r="I18" s="30"/>
    </row>
    <row r="19" customFormat="false" ht="35.5" hidden="false" customHeight="true" outlineLevel="0" collapsed="false">
      <c r="A19" s="18" t="s">
        <v>16</v>
      </c>
      <c r="B19" s="26" t="n">
        <v>15</v>
      </c>
      <c r="C19" s="20" t="n">
        <v>30000</v>
      </c>
      <c r="D19" s="21" t="n">
        <f aca="false" t="array" ref="D19:D19">C19/Roster!Q5</f>
        <v>15000</v>
      </c>
      <c r="E19" s="22"/>
      <c r="F19" s="28"/>
      <c r="G19" s="28"/>
      <c r="H19" s="29"/>
      <c r="I19" s="30"/>
    </row>
    <row r="20" customFormat="false" ht="35.5" hidden="false" customHeight="true" outlineLevel="0" collapsed="false">
      <c r="A20" s="18" t="s">
        <v>10</v>
      </c>
      <c r="B20" s="26" t="n">
        <v>16</v>
      </c>
      <c r="C20" s="20" t="n">
        <v>35000</v>
      </c>
      <c r="D20" s="21" t="n">
        <f aca="false" t="array" ref="D20:D20">C20/Roster!R5</f>
        <v>17500</v>
      </c>
      <c r="E20" s="22"/>
      <c r="F20" s="28"/>
      <c r="G20" s="28"/>
      <c r="H20" s="29"/>
      <c r="I20" s="30"/>
    </row>
    <row r="21" customFormat="false" ht="35.5" hidden="false" customHeight="true" outlineLevel="0" collapsed="false">
      <c r="A21" s="31" t="s">
        <v>11</v>
      </c>
      <c r="B21" s="26" t="n">
        <v>17</v>
      </c>
      <c r="C21" s="20" t="n">
        <v>45000</v>
      </c>
      <c r="D21" s="21" t="n">
        <f aca="false" t="array" ref="D21:D21">C21/Roster!S5</f>
        <v>15000</v>
      </c>
      <c r="E21" s="32"/>
      <c r="F21" s="28"/>
      <c r="G21" s="28"/>
      <c r="H21" s="29"/>
      <c r="I21" s="30"/>
    </row>
    <row r="22" customFormat="false" ht="35.5" hidden="false" customHeight="true" outlineLevel="0" collapsed="false">
      <c r="A22" s="33" t="s">
        <v>12</v>
      </c>
      <c r="B22" s="26" t="n">
        <v>18</v>
      </c>
      <c r="C22" s="20" t="n">
        <v>55000</v>
      </c>
      <c r="D22" s="21" t="n">
        <f aca="false" t="array" ref="D22:D22">C22/Roster!T5</f>
        <v>18333.3333333333</v>
      </c>
      <c r="E22" s="32"/>
      <c r="F22" s="28"/>
      <c r="G22" s="28"/>
      <c r="H22" s="29"/>
      <c r="I22" s="30"/>
    </row>
    <row r="23" customFormat="false" ht="35.5" hidden="false" customHeight="true" outlineLevel="0" collapsed="false">
      <c r="A23" s="18" t="s">
        <v>13</v>
      </c>
      <c r="B23" s="26" t="n">
        <v>19</v>
      </c>
      <c r="C23" s="20" t="n">
        <v>70000</v>
      </c>
      <c r="D23" s="34" t="n">
        <f aca="false" t="array" ref="D23:D23">C23/Roster!U5</f>
        <v>23333.3333333333</v>
      </c>
      <c r="E23" s="32"/>
      <c r="F23" s="28"/>
      <c r="G23" s="28"/>
      <c r="H23" s="29"/>
      <c r="I23" s="30"/>
    </row>
    <row r="24" customFormat="false" ht="35.5" hidden="false" customHeight="true" outlineLevel="0" collapsed="false">
      <c r="A24" s="18" t="s">
        <v>14</v>
      </c>
      <c r="B24" s="26" t="n">
        <v>20</v>
      </c>
      <c r="C24" s="20" t="n">
        <v>65000</v>
      </c>
      <c r="D24" s="34" t="n">
        <f aca="false" t="array" ref="D24:D24">C24/Roster!V5</f>
        <v>16250</v>
      </c>
      <c r="E24" s="32" t="n">
        <f aca="false" t="array" ref="E24:E24">SUM(C18:C24)</f>
        <v>340000</v>
      </c>
      <c r="F24" s="28"/>
      <c r="G24" s="28"/>
      <c r="H24" s="29"/>
      <c r="I24" s="30"/>
    </row>
    <row r="25" customFormat="false" ht="35.5" hidden="false" customHeight="true" outlineLevel="0" collapsed="false">
      <c r="A25" s="18" t="s">
        <v>15</v>
      </c>
      <c r="B25" s="26" t="n">
        <v>21</v>
      </c>
      <c r="C25" s="20" t="n">
        <v>35000</v>
      </c>
      <c r="D25" s="34" t="n">
        <f aca="false" t="array" ref="D25:D25">C25/Roster!W5</f>
        <v>11666.6666666667</v>
      </c>
      <c r="E25" s="36"/>
      <c r="F25" s="28"/>
      <c r="G25" s="28"/>
      <c r="H25" s="29"/>
      <c r="I25" s="30"/>
    </row>
    <row r="26" customFormat="false" ht="35.5" hidden="false" customHeight="true" outlineLevel="0" collapsed="false">
      <c r="A26" s="18" t="s">
        <v>16</v>
      </c>
      <c r="B26" s="26" t="n">
        <v>22</v>
      </c>
      <c r="C26" s="20" t="n">
        <v>25000</v>
      </c>
      <c r="D26" s="21" t="n">
        <f aca="false" t="array" ref="D26:D26">C26/Roster!X5</f>
        <v>12500</v>
      </c>
      <c r="E26" s="22"/>
      <c r="F26" s="28"/>
      <c r="G26" s="28"/>
      <c r="H26" s="29"/>
      <c r="I26" s="30"/>
    </row>
    <row r="27" customFormat="false" ht="35.5" hidden="false" customHeight="true" outlineLevel="0" collapsed="false">
      <c r="A27" s="18" t="s">
        <v>10</v>
      </c>
      <c r="B27" s="26" t="n">
        <v>23</v>
      </c>
      <c r="C27" s="20" t="n">
        <v>35000</v>
      </c>
      <c r="D27" s="21" t="n">
        <f aca="false" t="array" ref="D27:D27">C27/Roster!Y5</f>
        <v>17500</v>
      </c>
      <c r="E27" s="35" t="n">
        <f aca="false" t="array" ref="E27:E27">SUM(C21:C27)</f>
        <v>330000</v>
      </c>
      <c r="F27" s="28"/>
      <c r="G27" s="28"/>
      <c r="H27" s="29"/>
      <c r="I27" s="30"/>
    </row>
    <row r="28" customFormat="false" ht="35.5" hidden="false" customHeight="true" outlineLevel="0" collapsed="false">
      <c r="A28" s="31" t="s">
        <v>11</v>
      </c>
      <c r="B28" s="26" t="n">
        <v>24</v>
      </c>
      <c r="C28" s="20" t="n">
        <v>45000</v>
      </c>
      <c r="D28" s="21" t="n">
        <f aca="false" t="array" ref="D28:D28">C28/Roster!Z5</f>
        <v>22500</v>
      </c>
      <c r="E28" s="32"/>
      <c r="F28" s="28"/>
      <c r="G28" s="28"/>
      <c r="H28" s="29"/>
      <c r="I28" s="30"/>
    </row>
    <row r="29" customFormat="false" ht="35.5" hidden="false" customHeight="true" outlineLevel="0" collapsed="false">
      <c r="A29" s="33" t="s">
        <v>12</v>
      </c>
      <c r="B29" s="26" t="n">
        <v>25</v>
      </c>
      <c r="C29" s="20" t="n">
        <v>65000</v>
      </c>
      <c r="D29" s="21" t="n">
        <f aca="false" t="array" ref="D29:D29">C29/Roster!AA5</f>
        <v>16250</v>
      </c>
      <c r="E29" s="32"/>
      <c r="F29" s="28"/>
      <c r="G29" s="28"/>
      <c r="H29" s="29"/>
      <c r="I29" s="30"/>
    </row>
    <row r="30" customFormat="false" ht="35.5" hidden="false" customHeight="true" outlineLevel="0" collapsed="false">
      <c r="A30" s="18" t="s">
        <v>13</v>
      </c>
      <c r="B30" s="26" t="n">
        <v>26</v>
      </c>
      <c r="C30" s="20" t="n">
        <v>75000</v>
      </c>
      <c r="D30" s="34" t="n">
        <f aca="false" t="array" ref="D30:D30">C30/Roster!AB5</f>
        <v>18750</v>
      </c>
      <c r="E30" s="32"/>
      <c r="F30" s="28"/>
      <c r="G30" s="28"/>
      <c r="H30" s="29"/>
      <c r="I30" s="30"/>
    </row>
    <row r="31" customFormat="false" ht="35.5" hidden="false" customHeight="true" outlineLevel="0" collapsed="false">
      <c r="A31" s="18" t="s">
        <v>14</v>
      </c>
      <c r="B31" s="26" t="n">
        <v>27</v>
      </c>
      <c r="C31" s="20" t="n">
        <v>70000</v>
      </c>
      <c r="D31" s="34" t="n">
        <f aca="false" t="array" ref="D31:D31">C31/Roster!AC5</f>
        <v>23333.3333333333</v>
      </c>
      <c r="E31" s="32" t="n">
        <f aca="false" t="array" ref="E31:E31">SUM(C25:C31)</f>
        <v>350000</v>
      </c>
      <c r="F31" s="28"/>
      <c r="G31" s="28"/>
      <c r="H31" s="29"/>
      <c r="I31" s="30"/>
    </row>
    <row r="32" customFormat="false" ht="35.5" hidden="false" customHeight="true" outlineLevel="0" collapsed="false">
      <c r="A32" s="18" t="s">
        <v>15</v>
      </c>
      <c r="B32" s="26" t="n">
        <v>28</v>
      </c>
      <c r="C32" s="20" t="n">
        <v>40000</v>
      </c>
      <c r="D32" s="34" t="n">
        <f aca="false" t="array" ref="D32:D32">C32/Roster!AD5</f>
        <v>10000</v>
      </c>
      <c r="E32" s="36"/>
      <c r="F32" s="28"/>
      <c r="G32" s="28"/>
      <c r="H32" s="29"/>
      <c r="I32" s="30"/>
    </row>
    <row r="33" customFormat="false" ht="35.5" hidden="false" customHeight="true" outlineLevel="0" collapsed="false">
      <c r="A33" s="18" t="s">
        <v>16</v>
      </c>
      <c r="B33" s="26" t="n">
        <v>29</v>
      </c>
      <c r="C33" s="20" t="n">
        <v>30000</v>
      </c>
      <c r="D33" s="21" t="n">
        <f aca="false" t="array" ref="D33:D33">C33/Roster!AE5</f>
        <v>10000</v>
      </c>
      <c r="E33" s="22"/>
      <c r="F33" s="28"/>
      <c r="G33" s="28"/>
      <c r="H33" s="29"/>
      <c r="I33" s="30"/>
    </row>
    <row r="34" customFormat="false" ht="35.5" hidden="false" customHeight="true" outlineLevel="0" collapsed="false">
      <c r="A34" s="18" t="s">
        <v>10</v>
      </c>
      <c r="B34" s="26" t="n">
        <v>30</v>
      </c>
      <c r="C34" s="20" t="n">
        <v>40000</v>
      </c>
      <c r="D34" s="21" t="n">
        <f aca="false" t="array" ref="D34:D34">C34/Roster!AF5</f>
        <v>20000</v>
      </c>
      <c r="E34" s="35" t="n">
        <f aca="false" t="array" ref="E34:E34">SUM(C32:C34)</f>
        <v>110000</v>
      </c>
      <c r="F34" s="28"/>
      <c r="G34" s="28"/>
      <c r="H34" s="29"/>
      <c r="I34" s="30"/>
    </row>
    <row r="35" customFormat="false" ht="35.5" hidden="false" customHeight="true" outlineLevel="0" collapsed="false">
      <c r="A35" s="37"/>
      <c r="B35" s="38"/>
      <c r="C35" s="20"/>
      <c r="D35" s="39"/>
      <c r="E35" s="40"/>
      <c r="F35" s="41"/>
      <c r="G35" s="41"/>
      <c r="H35" s="42"/>
      <c r="I35" s="43"/>
    </row>
    <row r="36" customFormat="false" ht="35.5" hidden="false" customHeight="true" outlineLevel="0" collapsed="false">
      <c r="A36" s="18" t="s">
        <v>16</v>
      </c>
      <c r="B36" s="44"/>
      <c r="C36" s="45"/>
      <c r="D36" s="46"/>
      <c r="E36" s="47"/>
      <c r="F36" s="48"/>
      <c r="G36" s="48"/>
      <c r="H36" s="48"/>
      <c r="I36" s="49"/>
    </row>
    <row r="37" customFormat="false" ht="35.5" hidden="false" customHeight="true" outlineLevel="0" collapsed="false">
      <c r="A37" s="50" t="s">
        <v>17</v>
      </c>
      <c r="B37" s="51"/>
      <c r="C37" s="52" t="n">
        <f aca="false" t="array" ref="C37:C37">SUM(C5:C35)</f>
        <v>1400000</v>
      </c>
      <c r="D37" s="53"/>
      <c r="E37" s="53" t="n">
        <f aca="false" t="array" ref="E37:E37">SUM(E33+E26+E19+E12+E5)</f>
        <v>0</v>
      </c>
      <c r="F37" s="54"/>
      <c r="G37" s="55"/>
      <c r="H37" s="55"/>
      <c r="I37" s="56"/>
    </row>
    <row r="38" customFormat="false" ht="35.5" hidden="false" customHeight="true" outlineLevel="0" collapsed="false">
      <c r="A38" s="57" t="s">
        <v>18</v>
      </c>
      <c r="B38" s="51"/>
      <c r="C38" s="58"/>
      <c r="D38" s="51"/>
      <c r="E38" s="51"/>
      <c r="F38" s="54"/>
      <c r="G38" s="55"/>
      <c r="H38" s="55"/>
      <c r="I38" s="56"/>
    </row>
    <row r="39" customFormat="false" ht="35.5" hidden="false" customHeight="true" outlineLevel="0" collapsed="false">
      <c r="A39" s="57" t="s">
        <v>19</v>
      </c>
      <c r="B39" s="51"/>
      <c r="C39" s="59" t="n">
        <f aca="false" t="array" ref="C39:C39">C37-E37</f>
        <v>1400000</v>
      </c>
      <c r="D39" s="51"/>
      <c r="E39" s="51"/>
      <c r="F39" s="54"/>
      <c r="G39" s="55"/>
      <c r="H39" s="55"/>
      <c r="I39" s="56"/>
    </row>
    <row r="40" customFormat="false" ht="35.5" hidden="false" customHeight="true" outlineLevel="0" collapsed="false">
      <c r="A40" s="57" t="s">
        <v>20</v>
      </c>
      <c r="B40" s="51"/>
      <c r="C40" s="60" t="n">
        <f aca="false" t="array" ref="C40:C40">E37/C37</f>
        <v>0</v>
      </c>
      <c r="D40" s="51"/>
      <c r="E40" s="51"/>
      <c r="F40" s="61"/>
      <c r="G40" s="62"/>
      <c r="H40" s="62"/>
      <c r="I40" s="63"/>
    </row>
  </sheetData>
  <mergeCells count="36">
    <mergeCell ref="A1:I1"/>
    <mergeCell ref="A2:B2"/>
    <mergeCell ref="B3:G3"/>
    <mergeCell ref="F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</mergeCell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16.35546875" defaultRowHeight="16.6" customHeight="true" zeroHeight="false" outlineLevelRow="0" outlineLevelCol="0"/>
  <cols>
    <col collapsed="false" customWidth="true" hidden="false" outlineLevel="0" max="1" min="1" style="1" width="16.21"/>
    <col collapsed="false" customWidth="true" hidden="false" outlineLevel="0" max="33" min="2" style="1" width="9.86"/>
    <col collapsed="false" customWidth="false" hidden="false" outlineLevel="0" max="16384" min="34" style="1" width="16.35"/>
  </cols>
  <sheetData>
    <row r="1" customFormat="false" ht="15.5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customFormat="false" ht="11" hidden="false" customHeight="true" outlineLevel="0" collapsed="false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</row>
    <row r="3" customFormat="false" ht="15" hidden="false" customHeight="true" outlineLevel="0" collapsed="false">
      <c r="A3" s="65" t="n">
        <v>46266</v>
      </c>
      <c r="B3" s="64"/>
      <c r="C3" s="66" t="s">
        <v>21</v>
      </c>
      <c r="D3" s="66" t="s">
        <v>22</v>
      </c>
      <c r="E3" s="66" t="s">
        <v>23</v>
      </c>
      <c r="F3" s="66" t="s">
        <v>24</v>
      </c>
      <c r="G3" s="66" t="s">
        <v>25</v>
      </c>
      <c r="H3" s="66" t="s">
        <v>26</v>
      </c>
      <c r="I3" s="66" t="s">
        <v>27</v>
      </c>
      <c r="J3" s="66" t="s">
        <v>21</v>
      </c>
      <c r="K3" s="66" t="s">
        <v>22</v>
      </c>
      <c r="L3" s="66" t="s">
        <v>23</v>
      </c>
      <c r="M3" s="66" t="s">
        <v>24</v>
      </c>
      <c r="N3" s="66" t="s">
        <v>25</v>
      </c>
      <c r="O3" s="66" t="s">
        <v>26</v>
      </c>
      <c r="P3" s="66" t="s">
        <v>27</v>
      </c>
      <c r="Q3" s="66" t="s">
        <v>21</v>
      </c>
      <c r="R3" s="66" t="s">
        <v>22</v>
      </c>
      <c r="S3" s="66" t="s">
        <v>23</v>
      </c>
      <c r="T3" s="66" t="s">
        <v>24</v>
      </c>
      <c r="U3" s="66" t="s">
        <v>25</v>
      </c>
      <c r="V3" s="66" t="s">
        <v>26</v>
      </c>
      <c r="W3" s="66" t="s">
        <v>27</v>
      </c>
      <c r="X3" s="66" t="s">
        <v>21</v>
      </c>
      <c r="Y3" s="66" t="s">
        <v>22</v>
      </c>
      <c r="Z3" s="66" t="s">
        <v>23</v>
      </c>
      <c r="AA3" s="66" t="s">
        <v>24</v>
      </c>
      <c r="AB3" s="66" t="s">
        <v>25</v>
      </c>
      <c r="AC3" s="66" t="s">
        <v>26</v>
      </c>
      <c r="AD3" s="66" t="s">
        <v>27</v>
      </c>
      <c r="AE3" s="66" t="s">
        <v>21</v>
      </c>
      <c r="AF3" s="66" t="s">
        <v>22</v>
      </c>
      <c r="AG3" s="64"/>
    </row>
    <row r="4" customFormat="false" ht="11" hidden="false" customHeight="true" outlineLevel="0" collapsed="false">
      <c r="A4" s="66" t="s">
        <v>28</v>
      </c>
      <c r="B4" s="67"/>
      <c r="C4" s="68" t="n">
        <v>1</v>
      </c>
      <c r="D4" s="69" t="n">
        <v>2</v>
      </c>
      <c r="E4" s="69" t="n">
        <v>3</v>
      </c>
      <c r="F4" s="69" t="n">
        <v>4</v>
      </c>
      <c r="G4" s="69" t="n">
        <v>5</v>
      </c>
      <c r="H4" s="69" t="n">
        <v>6</v>
      </c>
      <c r="I4" s="69" t="n">
        <v>7</v>
      </c>
      <c r="J4" s="69" t="n">
        <v>8</v>
      </c>
      <c r="K4" s="69" t="n">
        <v>9</v>
      </c>
      <c r="L4" s="69" t="n">
        <v>10</v>
      </c>
      <c r="M4" s="69" t="n">
        <v>11</v>
      </c>
      <c r="N4" s="69" t="n">
        <v>12</v>
      </c>
      <c r="O4" s="69" t="n">
        <v>13</v>
      </c>
      <c r="P4" s="69" t="n">
        <v>14</v>
      </c>
      <c r="Q4" s="68" t="n">
        <v>15</v>
      </c>
      <c r="R4" s="68" t="n">
        <v>16</v>
      </c>
      <c r="S4" s="68" t="n">
        <v>17</v>
      </c>
      <c r="T4" s="68" t="n">
        <v>18</v>
      </c>
      <c r="U4" s="68" t="n">
        <v>19</v>
      </c>
      <c r="V4" s="68" t="n">
        <v>20</v>
      </c>
      <c r="W4" s="68" t="n">
        <v>21</v>
      </c>
      <c r="X4" s="68" t="n">
        <v>22</v>
      </c>
      <c r="Y4" s="68" t="n">
        <v>23</v>
      </c>
      <c r="Z4" s="68" t="n">
        <v>24</v>
      </c>
      <c r="AA4" s="68" t="n">
        <v>25</v>
      </c>
      <c r="AB4" s="68" t="n">
        <v>26</v>
      </c>
      <c r="AC4" s="68" t="n">
        <v>27</v>
      </c>
      <c r="AD4" s="68" t="n">
        <v>28</v>
      </c>
      <c r="AE4" s="68" t="n">
        <v>29</v>
      </c>
      <c r="AF4" s="68" t="n">
        <v>30</v>
      </c>
      <c r="AG4" s="68"/>
    </row>
    <row r="5" customFormat="false" ht="10.85" hidden="false" customHeight="true" outlineLevel="0" collapsed="false">
      <c r="A5" s="66" t="s">
        <v>29</v>
      </c>
      <c r="B5" s="67"/>
      <c r="C5" s="70" t="n">
        <v>4</v>
      </c>
      <c r="D5" s="70" t="n">
        <v>3</v>
      </c>
      <c r="E5" s="70" t="n">
        <v>2</v>
      </c>
      <c r="F5" s="70" t="n">
        <v>2</v>
      </c>
      <c r="G5" s="70" t="n">
        <v>3</v>
      </c>
      <c r="H5" s="70" t="n">
        <v>2</v>
      </c>
      <c r="I5" s="70" t="n">
        <v>2</v>
      </c>
      <c r="J5" s="70" t="n">
        <v>2</v>
      </c>
      <c r="K5" s="70" t="n">
        <v>1</v>
      </c>
      <c r="L5" s="70" t="n">
        <v>2</v>
      </c>
      <c r="M5" s="70" t="n">
        <v>4</v>
      </c>
      <c r="N5" s="70" t="n">
        <v>3</v>
      </c>
      <c r="O5" s="70" t="n">
        <v>4</v>
      </c>
      <c r="P5" s="70" t="n">
        <v>3</v>
      </c>
      <c r="Q5" s="70" t="n">
        <v>2</v>
      </c>
      <c r="R5" s="70" t="n">
        <v>2</v>
      </c>
      <c r="S5" s="70" t="n">
        <v>3</v>
      </c>
      <c r="T5" s="70" t="n">
        <v>3</v>
      </c>
      <c r="U5" s="70" t="n">
        <v>3</v>
      </c>
      <c r="V5" s="70" t="n">
        <v>4</v>
      </c>
      <c r="W5" s="70" t="n">
        <v>3</v>
      </c>
      <c r="X5" s="70" t="n">
        <v>2</v>
      </c>
      <c r="Y5" s="70" t="n">
        <v>2</v>
      </c>
      <c r="Z5" s="70" t="n">
        <v>2</v>
      </c>
      <c r="AA5" s="70" t="n">
        <v>4</v>
      </c>
      <c r="AB5" s="70" t="n">
        <v>4</v>
      </c>
      <c r="AC5" s="70" t="n">
        <v>3</v>
      </c>
      <c r="AD5" s="70" t="n">
        <v>4</v>
      </c>
      <c r="AE5" s="70" t="n">
        <v>3</v>
      </c>
      <c r="AF5" s="70" t="n">
        <v>2</v>
      </c>
      <c r="AG5" s="70"/>
    </row>
    <row r="6" customFormat="false" ht="10.85" hidden="false" customHeight="true" outlineLevel="0" collapsed="false">
      <c r="A6" s="64"/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</row>
    <row r="7" customFormat="false" ht="10.85" hidden="false" customHeight="true" outlineLevel="0" collapsed="false">
      <c r="A7" s="64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</row>
    <row r="8" customFormat="false" ht="10.85" hidden="false" customHeight="true" outlineLevel="0" collapsed="false">
      <c r="A8" s="64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</row>
    <row r="9" customFormat="false" ht="10.85" hidden="false" customHeight="true" outlineLevel="0" collapsed="false">
      <c r="A9" s="64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</row>
    <row r="10" customFormat="false" ht="10.85" hidden="false" customHeight="true" outlineLevel="0" collapsed="false">
      <c r="A10" s="64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</row>
    <row r="11" customFormat="false" ht="10.85" hidden="false" customHeight="true" outlineLevel="0" collapsed="false">
      <c r="A11" s="64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</row>
    <row r="12" customFormat="false" ht="10.85" hidden="false" customHeight="true" outlineLevel="0" collapsed="false">
      <c r="A12" s="64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</row>
    <row r="13" customFormat="false" ht="10.85" hidden="false" customHeight="true" outlineLevel="0" collapsed="false">
      <c r="A13" s="64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</row>
    <row r="14" customFormat="false" ht="10.85" hidden="false" customHeight="true" outlineLevel="0" collapsed="false">
      <c r="A14" s="64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</row>
    <row r="15" customFormat="false" ht="10.85" hidden="false" customHeight="true" outlineLevel="0" collapsed="false">
      <c r="A15" s="64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</row>
    <row r="16" customFormat="false" ht="10.85" hidden="false" customHeight="true" outlineLevel="0" collapsed="false">
      <c r="A16" s="64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</row>
    <row r="17" customFormat="false" ht="10.85" hidden="false" customHeight="true" outlineLevel="0" collapsed="false">
      <c r="A17" s="64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</row>
    <row r="18" customFormat="false" ht="10.85" hidden="false" customHeight="true" outlineLevel="0" collapsed="false">
      <c r="A18" s="64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</row>
    <row r="19" customFormat="false" ht="10.85" hidden="false" customHeight="true" outlineLevel="0" collapsed="false">
      <c r="A19" s="64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</row>
    <row r="20" customFormat="false" ht="10.85" hidden="false" customHeight="true" outlineLevel="0" collapsed="false">
      <c r="A20" s="64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</row>
    <row r="21" customFormat="false" ht="10.85" hidden="false" customHeight="true" outlineLevel="0" collapsed="false">
      <c r="A21" s="64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</row>
    <row r="22" customFormat="false" ht="10.85" hidden="false" customHeight="true" outlineLevel="0" collapsed="false">
      <c r="A22" s="64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</row>
    <row r="23" customFormat="false" ht="10.85" hidden="false" customHeight="true" outlineLevel="0" collapsed="false">
      <c r="A23" s="64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</row>
    <row r="24" customFormat="false" ht="10.85" hidden="false" customHeight="true" outlineLevel="0" collapsed="false">
      <c r="A24" s="64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</row>
    <row r="25" customFormat="false" ht="10.85" hidden="false" customHeight="true" outlineLevel="0" collapsed="false">
      <c r="A25" s="64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</row>
    <row r="26" customFormat="false" ht="10.85" hidden="false" customHeight="true" outlineLevel="0" collapsed="false">
      <c r="A26" s="64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customFormat="false" ht="10.85" hidden="false" customHeight="true" outlineLevel="0" collapsed="false">
      <c r="A27" s="64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customFormat="false" ht="10.85" hidden="false" customHeight="true" outlineLevel="0" collapsed="false">
      <c r="A28" s="64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</row>
    <row r="29" customFormat="false" ht="10.85" hidden="false" customHeight="true" outlineLevel="0" collapsed="false">
      <c r="A29" s="64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</row>
    <row r="30" customFormat="false" ht="10.85" hidden="false" customHeight="true" outlineLevel="0" collapsed="false">
      <c r="A30" s="64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</row>
    <row r="31" customFormat="false" ht="10.85" hidden="false" customHeight="true" outlineLevel="0" collapsed="false">
      <c r="A31" s="64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</row>
    <row r="32" customFormat="false" ht="10.85" hidden="false" customHeight="true" outlineLevel="0" collapsed="false">
      <c r="A32" s="64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</row>
    <row r="33" customFormat="false" ht="10.85" hidden="false" customHeight="true" outlineLevel="0" collapsed="false">
      <c r="A33" s="64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</row>
    <row r="34" customFormat="false" ht="10.85" hidden="false" customHeight="true" outlineLevel="0" collapsed="false">
      <c r="A34" s="64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</row>
    <row r="35" customFormat="false" ht="10.85" hidden="false" customHeight="true" outlineLevel="0" collapsed="false">
      <c r="A35" s="64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</row>
    <row r="36" customFormat="false" ht="10.85" hidden="false" customHeight="true" outlineLevel="0" collapsed="false">
      <c r="A36" s="64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</row>
    <row r="37" customFormat="false" ht="10.85" hidden="false" customHeight="true" outlineLevel="0" collapsed="false">
      <c r="A37" s="64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</row>
    <row r="38" customFormat="false" ht="10.85" hidden="false" customHeight="true" outlineLevel="0" collapsed="false">
      <c r="A38" s="64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</row>
    <row r="39" customFormat="false" ht="10.85" hidden="false" customHeight="true" outlineLevel="0" collapsed="false">
      <c r="A39" s="64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</row>
    <row r="40" customFormat="false" ht="10.85" hidden="false" customHeight="true" outlineLevel="0" collapsed="false">
      <c r="A40" s="64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</row>
    <row r="41" customFormat="false" ht="10.85" hidden="false" customHeight="true" outlineLevel="0" collapsed="false">
      <c r="A41" s="64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</row>
    <row r="42" customFormat="false" ht="10.85" hidden="false" customHeight="true" outlineLevel="0" collapsed="false">
      <c r="A42" s="64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</row>
    <row r="43" customFormat="false" ht="10.85" hidden="false" customHeight="true" outlineLevel="0" collapsed="false">
      <c r="A43" s="64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</row>
    <row r="44" customFormat="false" ht="10.85" hidden="false" customHeight="true" outlineLevel="0" collapsed="false">
      <c r="A44" s="64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</row>
    <row r="45" customFormat="false" ht="10.85" hidden="false" customHeight="true" outlineLevel="0" collapsed="false">
      <c r="A45" s="64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</row>
    <row r="46" customFormat="false" ht="10.85" hidden="false" customHeight="true" outlineLevel="0" collapsed="false">
      <c r="A46" s="64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</row>
    <row r="47" customFormat="false" ht="10.85" hidden="false" customHeight="true" outlineLevel="0" collapsed="false">
      <c r="A47" s="64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</row>
    <row r="48" customFormat="false" ht="10.85" hidden="false" customHeight="true" outlineLevel="0" collapsed="false">
      <c r="A48" s="64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</row>
    <row r="49" customFormat="false" ht="10.85" hidden="false" customHeight="true" outlineLevel="0" collapsed="false">
      <c r="A49" s="64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</row>
    <row r="50" customFormat="false" ht="10.85" hidden="false" customHeight="true" outlineLevel="0" collapsed="false">
      <c r="A50" s="64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</row>
    <row r="51" customFormat="false" ht="10.85" hidden="false" customHeight="true" outlineLevel="0" collapsed="false">
      <c r="A51" s="64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</row>
    <row r="52" customFormat="false" ht="10.85" hidden="false" customHeight="true" outlineLevel="0" collapsed="false">
      <c r="A52" s="64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</row>
    <row r="53" customFormat="false" ht="10.85" hidden="false" customHeight="true" outlineLevel="0" collapsed="false">
      <c r="A53" s="64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</row>
    <row r="54" customFormat="false" ht="10.85" hidden="false" customHeight="true" outlineLevel="0" collapsed="false">
      <c r="A54" s="64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</row>
    <row r="55" customFormat="false" ht="10.85" hidden="false" customHeight="true" outlineLevel="0" collapsed="false">
      <c r="A55" s="64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</row>
    <row r="56" customFormat="false" ht="10.85" hidden="false" customHeight="true" outlineLevel="0" collapsed="false">
      <c r="A56" s="64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</row>
    <row r="57" customFormat="false" ht="10.85" hidden="false" customHeight="true" outlineLevel="0" collapsed="false">
      <c r="A57" s="64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</row>
    <row r="58" customFormat="false" ht="10.85" hidden="false" customHeight="true" outlineLevel="0" collapsed="false">
      <c r="A58" s="64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</row>
    <row r="59" customFormat="false" ht="10.85" hidden="false" customHeight="true" outlineLevel="0" collapsed="false">
      <c r="A59" s="64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</row>
    <row r="60" customFormat="false" ht="10.85" hidden="false" customHeight="true" outlineLevel="0" collapsed="false">
      <c r="A60" s="64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</row>
    <row r="61" customFormat="false" ht="10.85" hidden="false" customHeight="true" outlineLevel="0" collapsed="false">
      <c r="A61" s="64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</row>
    <row r="62" customFormat="false" ht="10.85" hidden="false" customHeight="true" outlineLevel="0" collapsed="false">
      <c r="A62" s="64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</row>
    <row r="63" customFormat="false" ht="10.85" hidden="false" customHeight="true" outlineLevel="0" collapsed="false">
      <c r="A63" s="64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</row>
    <row r="64" customFormat="false" ht="10.85" hidden="false" customHeight="true" outlineLevel="0" collapsed="false">
      <c r="A64" s="64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</row>
    <row r="65" customFormat="false" ht="10.85" hidden="false" customHeight="true" outlineLevel="0" collapsed="false">
      <c r="A65" s="64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</row>
    <row r="66" customFormat="false" ht="10.85" hidden="false" customHeight="true" outlineLevel="0" collapsed="false">
      <c r="A66" s="64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</row>
  </sheetData>
  <mergeCells count="1">
    <mergeCell ref="A1:AG1"/>
  </mergeCell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en-ZA</dc:language>
  <cp:lastModifiedBy/>
  <dcterms:modified xsi:type="dcterms:W3CDTF">2026-09-02T21:46:02Z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