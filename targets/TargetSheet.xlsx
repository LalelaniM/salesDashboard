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02F4DD-7CB1-4C14-8FD0-1F8634928F1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August 2026" sheetId="1" r:id="rId1"/>
  </sheets>
  <calcPr calcId="18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5" i="1" l="1" a="1"/>
  <c r="D35" i="1" s="1"/>
  <c r="E37" i="1" a="1"/>
  <c r="E37" i="1" s="1"/>
  <c r="C40" i="1" s="1" a="1"/>
  <c r="C37" i="1" a="1"/>
  <c r="C37" i="1" s="1"/>
  <c r="C39" i="1" s="1" a="1"/>
  <c r="C39" i="1" s="1"/>
  <c r="E34" i="1" a="1"/>
  <c r="E34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 a="1"/>
  <c r="D28" i="1" s="1"/>
  <c r="E27" i="1" a="1"/>
  <c r="E27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E20" i="1" a="1"/>
  <c r="E20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E13" i="1" a="1"/>
  <c r="E13" i="1" s="1"/>
  <c r="D13" i="1" a="1"/>
  <c r="D13" i="1" s="1"/>
  <c r="D12" i="1" a="1"/>
  <c r="D12" i="1" s="1"/>
  <c r="D11" i="1" a="1"/>
  <c r="D11" i="1" s="1"/>
  <c r="E6" i="1" a="1"/>
  <c r="E6" i="1" s="1"/>
  <c r="D5" i="1" a="1"/>
  <c r="D9" i="1" s="1"/>
  <c r="C40" i="1" l="1"/>
  <c r="D8" i="1"/>
  <c r="D10" i="1"/>
  <c r="D5" i="1"/>
  <c r="D6" i="1"/>
  <c r="D7" i="1"/>
</calcChain>
</file>

<file path=xl/sharedStrings.xml><?xml version="1.0" encoding="utf-8"?>
<sst xmlns="http://schemas.openxmlformats.org/spreadsheetml/2006/main" count="45" uniqueCount="21">
  <si>
    <t>Table 1</t>
  </si>
  <si>
    <t xml:space="preserve">TEAM Target Sheet </t>
  </si>
  <si>
    <t>MONTH</t>
  </si>
  <si>
    <t>DAY</t>
  </si>
  <si>
    <t>DATE</t>
  </si>
  <si>
    <t>Store Target</t>
  </si>
  <si>
    <t>Individual Target</t>
  </si>
  <si>
    <t>Weekly Target</t>
  </si>
  <si>
    <t>Notes</t>
  </si>
  <si>
    <t xml:space="preserve">SATURDAY </t>
  </si>
  <si>
    <t>SUNDAY</t>
  </si>
  <si>
    <t>MONDAY</t>
  </si>
  <si>
    <t>TUESDAY</t>
  </si>
  <si>
    <t xml:space="preserve">WEDNESDAY </t>
  </si>
  <si>
    <t>THURSDAY</t>
  </si>
  <si>
    <t>FRIDAY</t>
  </si>
  <si>
    <t>SATURDAY</t>
  </si>
  <si>
    <t>Total MTD</t>
  </si>
  <si>
    <t>Daily difference</t>
  </si>
  <si>
    <t>Monthly Difference</t>
  </si>
  <si>
    <t>% 2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</si>
</sst>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[$R-1C09]0.00"/>
    <numFmt numFmtId="166" formatCode="_-[$R-1C09]* #,##0.00_-;_-[$R-1C09]* \(#,##0.00\)_-;_-[$R-1C09]* \-??;_-@_-"/>
    <numFmt numFmtId="167" formatCode="0.0%"/>
  </numFmts>
  <fonts count="13" x14ac:knownFonts="1">
    <font>
      <sz val="12"/>
      <name val="Calibri"/>
      <charset val="1"/>
    </font>
    <font>
      <sz val="15"/>
      <name val="Calibri"/>
      <charset val="1"/>
    </font>
    <font>
      <sz val="28"/>
      <name val="Calibri"/>
      <charset val="1"/>
    </font>
    <font>
      <b/>
      <sz val="12"/>
      <name val="Calibri"/>
      <charset val="1"/>
    </font>
    <font>
      <sz val="16"/>
      <name val="Calibri"/>
      <charset val="1"/>
    </font>
    <font>
      <b/>
      <sz val="16"/>
      <name val="Calibri"/>
      <charset val="1"/>
    </font>
    <font>
      <b/>
      <sz val="31"/>
      <name val="Calibri"/>
      <charset val="1"/>
    </font>
    <font>
      <b/>
      <sz val="14"/>
      <name val="Calibri"/>
      <charset val="1"/>
    </font>
    <font>
      <b/>
      <sz val="17"/>
      <name val="Calibri"/>
      <charset val="1"/>
    </font>
    <font>
      <sz val="17"/>
      <name val="Calibri"/>
      <charset val="1"/>
    </font>
    <font>
      <b/>
      <sz val="18"/>
      <name val="Calibri"/>
      <charset val="1"/>
    </font>
    <font>
      <b/>
      <sz val="13"/>
      <name val="Calibri"/>
      <charset val="1"/>
    </font>
    <font>
      <sz val="13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20" xfId="0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49" fontId="7" fillId="2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49" fontId="4" fillId="2" borderId="1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5" xfId="0" applyFont="1" applyFill="1" applyBorder="1"/>
    <xf numFmtId="165" fontId="6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vertical="center"/>
    </xf>
    <xf numFmtId="49" fontId="7" fillId="2" borderId="3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8" fillId="2" borderId="6" xfId="0" applyNumberFormat="1" applyFont="1" applyFill="1" applyBorder="1"/>
    <xf numFmtId="0" fontId="8" fillId="0" borderId="7" xfId="0" applyFont="1" applyBorder="1" applyAlignment="1">
      <alignment horizontal="center"/>
    </xf>
    <xf numFmtId="165" fontId="9" fillId="0" borderId="6" xfId="0" applyNumberFormat="1" applyFont="1" applyBorder="1"/>
    <xf numFmtId="166" fontId="9" fillId="0" borderId="8" xfId="0" applyNumberFormat="1" applyFont="1" applyBorder="1" applyAlignment="1">
      <alignment horizontal="right"/>
    </xf>
    <xf numFmtId="0" fontId="8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5" fontId="9" fillId="0" borderId="9" xfId="0" applyNumberFormat="1" applyFont="1" applyBorder="1"/>
    <xf numFmtId="0" fontId="9" fillId="0" borderId="6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49" fontId="8" fillId="2" borderId="14" xfId="0" applyNumberFormat="1" applyFont="1" applyFill="1" applyBorder="1"/>
    <xf numFmtId="49" fontId="8" fillId="2" borderId="7" xfId="0" applyNumberFormat="1" applyFont="1" applyFill="1" applyBorder="1"/>
    <xf numFmtId="166" fontId="8" fillId="0" borderId="8" xfId="0" applyNumberFormat="1" applyFont="1" applyBorder="1" applyAlignment="1">
      <alignment horizontal="right"/>
    </xf>
    <xf numFmtId="165" fontId="8" fillId="0" borderId="9" xfId="0" applyNumberFormat="1" applyFont="1" applyBorder="1" applyAlignment="1">
      <alignment horizontal="center"/>
    </xf>
    <xf numFmtId="0" fontId="9" fillId="0" borderId="9" xfId="0" applyFont="1" applyBorder="1"/>
    <xf numFmtId="165" fontId="8" fillId="0" borderId="9" xfId="0" applyNumberFormat="1" applyFont="1" applyBorder="1"/>
    <xf numFmtId="0" fontId="8" fillId="0" borderId="14" xfId="0" applyFont="1" applyBorder="1" applyAlignment="1">
      <alignment horizontal="center"/>
    </xf>
    <xf numFmtId="166" fontId="9" fillId="0" borderId="15" xfId="0" applyNumberFormat="1" applyFont="1" applyBorder="1" applyAlignment="1">
      <alignment horizontal="right"/>
    </xf>
    <xf numFmtId="165" fontId="9" fillId="0" borderId="16" xfId="0" applyNumberFormat="1" applyFont="1" applyBorder="1"/>
    <xf numFmtId="0" fontId="9" fillId="0" borderId="1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0" borderId="3" xfId="0" applyBorder="1"/>
    <xf numFmtId="0" fontId="0" fillId="0" borderId="14" xfId="0" applyBorder="1"/>
    <xf numFmtId="165" fontId="3" fillId="0" borderId="14" xfId="0" applyNumberFormat="1" applyFont="1" applyBorder="1" applyAlignment="1">
      <alignment horizontal="right"/>
    </xf>
    <xf numFmtId="165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9" fontId="3" fillId="2" borderId="14" xfId="0" applyNumberFormat="1" applyFont="1" applyFill="1" applyBorder="1"/>
    <xf numFmtId="0" fontId="0" fillId="2" borderId="3" xfId="0" applyFill="1" applyBorder="1"/>
    <xf numFmtId="165" fontId="10" fillId="2" borderId="3" xfId="0" applyNumberFormat="1" applyFont="1" applyFill="1" applyBorder="1"/>
    <xf numFmtId="0" fontId="11" fillId="2" borderId="3" xfId="0" applyFont="1" applyFill="1" applyBorder="1"/>
    <xf numFmtId="0" fontId="0" fillId="2" borderId="22" xfId="0" applyFill="1" applyBorder="1"/>
    <xf numFmtId="0" fontId="0" fillId="2" borderId="0" xfId="0" applyFill="1"/>
    <xf numFmtId="0" fontId="0" fillId="2" borderId="23" xfId="0" applyFill="1" applyBorder="1"/>
    <xf numFmtId="49" fontId="3" fillId="2" borderId="3" xfId="0" applyNumberFormat="1" applyFont="1" applyFill="1" applyBorder="1"/>
    <xf numFmtId="0" fontId="12" fillId="2" borderId="3" xfId="0" applyFont="1" applyFill="1" applyBorder="1"/>
    <xf numFmtId="165" fontId="12" fillId="2" borderId="3" xfId="0" applyNumberFormat="1" applyFont="1" applyFill="1" applyBorder="1"/>
    <xf numFmtId="167" fontId="11" fillId="2" borderId="3" xfId="0" applyNumberFormat="1" applyFont="1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showGridLines="0" tabSelected="1" zoomScale="50" zoomScaleNormal="50" workbookViewId="0">
      <pane xSplit="1" ySplit="2" topLeftCell="B30" activePane="bottomRight" state="frozen"/>
      <selection pane="topRight" activeCell="B1" sqref="B1"/>
      <selection pane="bottomLeft" activeCell="A34" sqref="A34"/>
      <selection pane="bottomRight" activeCell="C35" sqref="C35"/>
    </sheetView>
  </sheetViews>
  <sheetFormatPr defaultColWidth="16.375" defaultRowHeight="16.7" customHeight="1" x14ac:dyDescent="0.25"/>
  <cols>
    <col min="1" max="1" width="20.875" customWidth="1"/>
    <col min="2" max="9" width="17.625" customWidth="1"/>
  </cols>
  <sheetData>
    <row r="1" spans="1:9" ht="15.6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36" customHeight="1" x14ac:dyDescent="0.25">
      <c r="A2" s="7" t="s">
        <v>1</v>
      </c>
      <c r="B2" s="7"/>
      <c r="C2" s="9"/>
      <c r="D2" s="10"/>
      <c r="E2" s="10"/>
      <c r="F2" s="11" t="s">
        <v>2</v>
      </c>
      <c r="G2" s="12">
        <v>46235</v>
      </c>
      <c r="H2" s="13"/>
      <c r="I2" s="14"/>
    </row>
    <row r="3" spans="1:9" ht="36" customHeight="1" x14ac:dyDescent="0.25">
      <c r="A3" s="15"/>
      <c r="B3" s="6">
        <v>1350000</v>
      </c>
      <c r="C3" s="6"/>
      <c r="D3" s="6"/>
      <c r="E3" s="6"/>
      <c r="F3" s="6"/>
      <c r="G3" s="6"/>
      <c r="H3" s="16"/>
      <c r="I3" s="16"/>
    </row>
    <row r="4" spans="1:9" ht="35.450000000000003" customHeight="1" x14ac:dyDescent="0.25">
      <c r="A4" s="17" t="s">
        <v>3</v>
      </c>
      <c r="B4" s="18" t="s">
        <v>4</v>
      </c>
      <c r="C4" s="19" t="s">
        <v>5</v>
      </c>
      <c r="D4" s="20" t="s">
        <v>6</v>
      </c>
      <c r="E4" s="19" t="s">
        <v>7</v>
      </c>
      <c r="F4" s="5" t="s">
        <v>8</v>
      </c>
      <c r="G4" s="5"/>
      <c r="H4" s="21"/>
      <c r="I4" s="22"/>
    </row>
    <row r="5" spans="1:9" ht="35.450000000000003" customHeight="1" x14ac:dyDescent="0.35">
      <c r="A5" s="23" t="s">
        <v>9</v>
      </c>
      <c r="B5" s="24">
        <v>1</v>
      </c>
      <c r="C5" s="25">
        <v>60000</v>
      </c>
      <c r="D5" s="26" t="e">
        <f t="array" ref="D5:D10">C5/#REF!</f>
        <v>#REF!</v>
      </c>
      <c r="E5" s="27"/>
      <c r="F5" s="4"/>
      <c r="G5" s="4"/>
      <c r="H5" s="28"/>
      <c r="I5" s="29"/>
    </row>
    <row r="6" spans="1:9" ht="35.450000000000003" customHeight="1" x14ac:dyDescent="0.35">
      <c r="A6" s="23" t="s">
        <v>10</v>
      </c>
      <c r="B6" s="30">
        <v>2</v>
      </c>
      <c r="C6" s="25">
        <v>55000</v>
      </c>
      <c r="D6" s="26" t="e">
        <v>#REF!</v>
      </c>
      <c r="E6" s="31">
        <f t="array" ref="E6">SUM(C5:C6)</f>
        <v>115000</v>
      </c>
      <c r="F6" s="3"/>
      <c r="G6" s="3"/>
      <c r="H6" s="32"/>
      <c r="I6" s="33"/>
    </row>
    <row r="7" spans="1:9" ht="35.450000000000003" customHeight="1" x14ac:dyDescent="0.35">
      <c r="A7" s="34" t="s">
        <v>11</v>
      </c>
      <c r="B7" s="30">
        <v>3</v>
      </c>
      <c r="C7" s="25">
        <v>35000</v>
      </c>
      <c r="D7" s="26" t="e">
        <v>#REF!</v>
      </c>
      <c r="E7" s="31"/>
      <c r="F7" s="3"/>
      <c r="G7" s="3"/>
      <c r="H7" s="32"/>
      <c r="I7" s="33"/>
    </row>
    <row r="8" spans="1:9" ht="35.450000000000003" customHeight="1" x14ac:dyDescent="0.35">
      <c r="A8" s="35" t="s">
        <v>12</v>
      </c>
      <c r="B8" s="30">
        <v>4</v>
      </c>
      <c r="C8" s="25">
        <v>25000</v>
      </c>
      <c r="D8" s="26" t="e">
        <v>#REF!</v>
      </c>
      <c r="E8" s="31"/>
      <c r="F8" s="3"/>
      <c r="G8" s="3"/>
      <c r="H8" s="32"/>
      <c r="I8" s="33"/>
    </row>
    <row r="9" spans="1:9" ht="35.450000000000003" customHeight="1" x14ac:dyDescent="0.35">
      <c r="A9" s="23" t="s">
        <v>13</v>
      </c>
      <c r="B9" s="30">
        <v>5</v>
      </c>
      <c r="C9" s="25">
        <v>30000</v>
      </c>
      <c r="D9" s="36" t="e">
        <v>#REF!</v>
      </c>
      <c r="E9" s="31"/>
      <c r="F9" s="3"/>
      <c r="G9" s="3"/>
      <c r="H9" s="32"/>
      <c r="I9" s="33"/>
    </row>
    <row r="10" spans="1:9" ht="35.450000000000003" customHeight="1" x14ac:dyDescent="0.35">
      <c r="A10" s="23" t="s">
        <v>14</v>
      </c>
      <c r="B10" s="30">
        <v>6</v>
      </c>
      <c r="C10" s="25">
        <v>40000</v>
      </c>
      <c r="D10" s="36" t="e">
        <v>#REF!</v>
      </c>
      <c r="E10" s="31"/>
      <c r="F10" s="3"/>
      <c r="G10" s="3"/>
      <c r="H10" s="32"/>
      <c r="I10" s="33"/>
    </row>
    <row r="11" spans="1:9" ht="35.450000000000003" customHeight="1" x14ac:dyDescent="0.35">
      <c r="A11" s="23" t="s">
        <v>15</v>
      </c>
      <c r="B11" s="30">
        <v>7</v>
      </c>
      <c r="C11" s="25">
        <v>50000</v>
      </c>
      <c r="D11" s="36" t="e">
        <f t="array" ref="D11">C11/#REF!</f>
        <v>#REF!</v>
      </c>
      <c r="E11" s="37"/>
      <c r="F11" s="3"/>
      <c r="G11" s="3"/>
      <c r="H11" s="32"/>
      <c r="I11" s="33"/>
    </row>
    <row r="12" spans="1:9" ht="35.450000000000003" customHeight="1" x14ac:dyDescent="0.35">
      <c r="A12" s="23" t="s">
        <v>16</v>
      </c>
      <c r="B12" s="30">
        <v>8</v>
      </c>
      <c r="C12" s="25">
        <v>60000</v>
      </c>
      <c r="D12" s="26" t="e">
        <f t="array" ref="D12">C12/#REF!</f>
        <v>#REF!</v>
      </c>
      <c r="E12" s="38"/>
      <c r="F12" s="3"/>
      <c r="G12" s="3"/>
      <c r="H12" s="32"/>
      <c r="I12" s="33"/>
    </row>
    <row r="13" spans="1:9" ht="35.450000000000003" customHeight="1" x14ac:dyDescent="0.35">
      <c r="A13" s="23" t="s">
        <v>10</v>
      </c>
      <c r="B13" s="30">
        <v>9</v>
      </c>
      <c r="C13" s="25">
        <v>55000</v>
      </c>
      <c r="D13" s="26" t="e">
        <f t="array" ref="D13">C13/#REF!</f>
        <v>#REF!</v>
      </c>
      <c r="E13" s="37">
        <f t="array" ref="E13">SUM(C7:C13)</f>
        <v>295000</v>
      </c>
      <c r="F13" s="3"/>
      <c r="G13" s="3"/>
      <c r="H13" s="32"/>
      <c r="I13" s="33"/>
    </row>
    <row r="14" spans="1:9" ht="35.450000000000003" customHeight="1" x14ac:dyDescent="0.35">
      <c r="A14" s="34" t="s">
        <v>11</v>
      </c>
      <c r="B14" s="30">
        <v>10</v>
      </c>
      <c r="C14" s="25">
        <v>30000</v>
      </c>
      <c r="D14" s="26" t="e">
        <f t="array" ref="D14">C14/#REF!</f>
        <v>#REF!</v>
      </c>
      <c r="E14" s="31"/>
      <c r="F14" s="3"/>
      <c r="G14" s="3"/>
      <c r="H14" s="32"/>
      <c r="I14" s="33"/>
    </row>
    <row r="15" spans="1:9" ht="35.450000000000003" customHeight="1" x14ac:dyDescent="0.35">
      <c r="A15" s="35" t="s">
        <v>12</v>
      </c>
      <c r="B15" s="30">
        <v>11</v>
      </c>
      <c r="C15" s="25">
        <v>25000</v>
      </c>
      <c r="D15" s="26" t="e">
        <f t="array" ref="D15">C15/#REF!</f>
        <v>#REF!</v>
      </c>
      <c r="E15" s="31"/>
      <c r="F15" s="3"/>
      <c r="G15" s="3"/>
      <c r="H15" s="32"/>
      <c r="I15" s="33"/>
    </row>
    <row r="16" spans="1:9" ht="35.450000000000003" customHeight="1" x14ac:dyDescent="0.35">
      <c r="A16" s="23" t="s">
        <v>13</v>
      </c>
      <c r="B16" s="30">
        <v>12</v>
      </c>
      <c r="C16" s="25">
        <v>30000</v>
      </c>
      <c r="D16" s="36" t="e">
        <f t="array" ref="D16">C16/#REF!</f>
        <v>#REF!</v>
      </c>
      <c r="E16" s="31"/>
      <c r="F16" s="3"/>
      <c r="G16" s="3"/>
      <c r="H16" s="32"/>
      <c r="I16" s="33"/>
    </row>
    <row r="17" spans="1:9" ht="35.450000000000003" customHeight="1" x14ac:dyDescent="0.35">
      <c r="A17" s="23" t="s">
        <v>14</v>
      </c>
      <c r="B17" s="30">
        <v>13</v>
      </c>
      <c r="C17" s="25">
        <v>45000</v>
      </c>
      <c r="D17" s="36" t="e">
        <f t="array" ref="D17">C17/#REF!</f>
        <v>#REF!</v>
      </c>
      <c r="E17" s="31"/>
      <c r="F17" s="3"/>
      <c r="G17" s="3"/>
      <c r="H17" s="32"/>
      <c r="I17" s="33"/>
    </row>
    <row r="18" spans="1:9" ht="35.450000000000003" customHeight="1" x14ac:dyDescent="0.35">
      <c r="A18" s="23" t="s">
        <v>15</v>
      </c>
      <c r="B18" s="30">
        <v>14</v>
      </c>
      <c r="C18" s="25">
        <v>55000</v>
      </c>
      <c r="D18" s="36" t="e">
        <f t="array" ref="D18">C18/#REF!</f>
        <v>#REF!</v>
      </c>
      <c r="E18" s="39"/>
      <c r="F18" s="3"/>
      <c r="G18" s="3"/>
      <c r="H18" s="32"/>
      <c r="I18" s="33"/>
    </row>
    <row r="19" spans="1:9" ht="35.450000000000003" customHeight="1" x14ac:dyDescent="0.35">
      <c r="A19" s="23" t="s">
        <v>16</v>
      </c>
      <c r="B19" s="30">
        <v>15</v>
      </c>
      <c r="C19" s="25">
        <v>65000</v>
      </c>
      <c r="D19" s="26" t="e">
        <f t="array" ref="D19">C19/#REF!</f>
        <v>#REF!</v>
      </c>
      <c r="E19" s="27"/>
      <c r="F19" s="3"/>
      <c r="G19" s="3"/>
      <c r="H19" s="32"/>
      <c r="I19" s="33"/>
    </row>
    <row r="20" spans="1:9" ht="35.450000000000003" customHeight="1" x14ac:dyDescent="0.35">
      <c r="A20" s="23" t="s">
        <v>10</v>
      </c>
      <c r="B20" s="30">
        <v>16</v>
      </c>
      <c r="C20" s="25">
        <v>55000</v>
      </c>
      <c r="D20" s="26" t="e">
        <f t="array" ref="D20">C20/#REF!</f>
        <v>#REF!</v>
      </c>
      <c r="E20" s="37">
        <f t="array" ref="E20">SUM(C14:C20)</f>
        <v>305000</v>
      </c>
      <c r="F20" s="3"/>
      <c r="G20" s="3"/>
      <c r="H20" s="32"/>
      <c r="I20" s="33"/>
    </row>
    <row r="21" spans="1:9" ht="35.450000000000003" customHeight="1" x14ac:dyDescent="0.35">
      <c r="A21" s="34" t="s">
        <v>11</v>
      </c>
      <c r="B21" s="30">
        <v>17</v>
      </c>
      <c r="C21" s="25">
        <v>35000</v>
      </c>
      <c r="D21" s="26" t="e">
        <f t="array" ref="D21">C21/#REF!</f>
        <v>#REF!</v>
      </c>
      <c r="E21" s="31"/>
      <c r="F21" s="3"/>
      <c r="G21" s="3"/>
      <c r="H21" s="32"/>
      <c r="I21" s="33"/>
    </row>
    <row r="22" spans="1:9" ht="35.450000000000003" customHeight="1" x14ac:dyDescent="0.35">
      <c r="A22" s="35" t="s">
        <v>12</v>
      </c>
      <c r="B22" s="30">
        <v>18</v>
      </c>
      <c r="C22" s="25">
        <v>30000</v>
      </c>
      <c r="D22" s="26" t="e">
        <f t="array" ref="D22">C22/#REF!</f>
        <v>#REF!</v>
      </c>
      <c r="E22" s="31"/>
      <c r="F22" s="3"/>
      <c r="G22" s="3"/>
      <c r="H22" s="32"/>
      <c r="I22" s="33"/>
    </row>
    <row r="23" spans="1:9" ht="35.450000000000003" customHeight="1" x14ac:dyDescent="0.35">
      <c r="A23" s="23" t="s">
        <v>13</v>
      </c>
      <c r="B23" s="30">
        <v>19</v>
      </c>
      <c r="C23" s="25">
        <v>35000</v>
      </c>
      <c r="D23" s="36" t="e">
        <f t="array" ref="D23">C23/#REF!</f>
        <v>#REF!</v>
      </c>
      <c r="E23" s="31"/>
      <c r="F23" s="3"/>
      <c r="G23" s="3"/>
      <c r="H23" s="32"/>
      <c r="I23" s="33"/>
    </row>
    <row r="24" spans="1:9" ht="35.450000000000003" customHeight="1" x14ac:dyDescent="0.35">
      <c r="A24" s="23" t="s">
        <v>14</v>
      </c>
      <c r="B24" s="30">
        <v>20</v>
      </c>
      <c r="C24" s="25">
        <v>45000</v>
      </c>
      <c r="D24" s="36" t="e">
        <f t="array" ref="D24">C24/#REF!</f>
        <v>#REF!</v>
      </c>
      <c r="E24" s="31"/>
      <c r="F24" s="3"/>
      <c r="G24" s="3"/>
      <c r="H24" s="32"/>
      <c r="I24" s="33"/>
    </row>
    <row r="25" spans="1:9" ht="35.450000000000003" customHeight="1" x14ac:dyDescent="0.35">
      <c r="A25" s="23" t="s">
        <v>15</v>
      </c>
      <c r="B25" s="30">
        <v>21</v>
      </c>
      <c r="C25" s="25">
        <v>55000</v>
      </c>
      <c r="D25" s="36" t="e">
        <f t="array" ref="D25">C25/#REF!</f>
        <v>#REF!</v>
      </c>
      <c r="E25" s="39"/>
      <c r="F25" s="3"/>
      <c r="G25" s="3"/>
      <c r="H25" s="32"/>
      <c r="I25" s="33"/>
    </row>
    <row r="26" spans="1:9" ht="35.450000000000003" customHeight="1" x14ac:dyDescent="0.35">
      <c r="A26" s="23" t="s">
        <v>16</v>
      </c>
      <c r="B26" s="30">
        <v>22</v>
      </c>
      <c r="C26" s="25">
        <v>65000</v>
      </c>
      <c r="D26" s="26" t="e">
        <f t="array" ref="D26">C26/#REF!</f>
        <v>#REF!</v>
      </c>
      <c r="E26" s="27"/>
      <c r="F26" s="3"/>
      <c r="G26" s="3"/>
      <c r="H26" s="32"/>
      <c r="I26" s="33"/>
    </row>
    <row r="27" spans="1:9" ht="35.450000000000003" customHeight="1" x14ac:dyDescent="0.35">
      <c r="A27" s="23" t="s">
        <v>10</v>
      </c>
      <c r="B27" s="30">
        <v>23</v>
      </c>
      <c r="C27" s="25">
        <v>55000</v>
      </c>
      <c r="D27" s="26" t="e">
        <f t="array" ref="D27">C27/#REF!</f>
        <v>#REF!</v>
      </c>
      <c r="E27" s="37">
        <f t="array" ref="E27">SUM(C21:C27)</f>
        <v>320000</v>
      </c>
      <c r="F27" s="3"/>
      <c r="G27" s="3"/>
      <c r="H27" s="32"/>
      <c r="I27" s="33"/>
    </row>
    <row r="28" spans="1:9" ht="35.450000000000003" customHeight="1" x14ac:dyDescent="0.35">
      <c r="A28" s="34" t="s">
        <v>11</v>
      </c>
      <c r="B28" s="30">
        <v>24</v>
      </c>
      <c r="C28" s="25">
        <v>35000</v>
      </c>
      <c r="D28" s="26" t="e">
        <f t="array" ref="D28">C28/#REF!</f>
        <v>#REF!</v>
      </c>
      <c r="E28" s="31"/>
      <c r="F28" s="3"/>
      <c r="G28" s="3"/>
      <c r="H28" s="32"/>
      <c r="I28" s="33"/>
    </row>
    <row r="29" spans="1:9" ht="35.450000000000003" customHeight="1" x14ac:dyDescent="0.35">
      <c r="A29" s="35" t="s">
        <v>12</v>
      </c>
      <c r="B29" s="30">
        <v>25</v>
      </c>
      <c r="C29" s="25">
        <v>30000</v>
      </c>
      <c r="D29" s="26" t="e">
        <f t="array" ref="D29">C29/#REF!</f>
        <v>#REF!</v>
      </c>
      <c r="E29" s="31"/>
      <c r="F29" s="3"/>
      <c r="G29" s="3"/>
      <c r="H29" s="32"/>
      <c r="I29" s="33"/>
    </row>
    <row r="30" spans="1:9" ht="35.450000000000003" customHeight="1" x14ac:dyDescent="0.35">
      <c r="A30" s="23" t="s">
        <v>13</v>
      </c>
      <c r="B30" s="30">
        <v>26</v>
      </c>
      <c r="C30" s="25">
        <v>35000</v>
      </c>
      <c r="D30" s="36" t="e">
        <f t="array" ref="D30">C30/#REF!</f>
        <v>#REF!</v>
      </c>
      <c r="E30" s="31"/>
      <c r="F30" s="3"/>
      <c r="G30" s="3"/>
      <c r="H30" s="32"/>
      <c r="I30" s="33"/>
    </row>
    <row r="31" spans="1:9" ht="35.450000000000003" customHeight="1" x14ac:dyDescent="0.35">
      <c r="A31" s="23" t="s">
        <v>14</v>
      </c>
      <c r="B31" s="30">
        <v>27</v>
      </c>
      <c r="C31" s="25">
        <v>45000</v>
      </c>
      <c r="D31" s="36" t="e">
        <f t="array" ref="D31">C31/#REF!</f>
        <v>#REF!</v>
      </c>
      <c r="E31" s="31"/>
      <c r="F31" s="3"/>
      <c r="G31" s="3"/>
      <c r="H31" s="32"/>
      <c r="I31" s="33"/>
    </row>
    <row r="32" spans="1:9" ht="35.450000000000003" customHeight="1" x14ac:dyDescent="0.35">
      <c r="A32" s="23" t="s">
        <v>15</v>
      </c>
      <c r="B32" s="30">
        <v>28</v>
      </c>
      <c r="C32" s="25">
        <v>55000</v>
      </c>
      <c r="D32" s="36" t="e">
        <f t="array" ref="D32">C32/#REF!</f>
        <v>#REF!</v>
      </c>
      <c r="E32" s="39"/>
      <c r="F32" s="3"/>
      <c r="G32" s="3"/>
      <c r="H32" s="32"/>
      <c r="I32" s="33"/>
    </row>
    <row r="33" spans="1:9" ht="35.450000000000003" customHeight="1" x14ac:dyDescent="0.35">
      <c r="A33" s="23" t="s">
        <v>16</v>
      </c>
      <c r="B33" s="30">
        <v>29</v>
      </c>
      <c r="C33" s="25">
        <v>60000</v>
      </c>
      <c r="D33" s="26" t="e">
        <f t="array" ref="D33">C33/#REF!</f>
        <v>#REF!</v>
      </c>
      <c r="E33" s="27"/>
      <c r="F33" s="3"/>
      <c r="G33" s="3"/>
      <c r="H33" s="32"/>
      <c r="I33" s="33"/>
    </row>
    <row r="34" spans="1:9" ht="35.450000000000003" customHeight="1" x14ac:dyDescent="0.35">
      <c r="A34" s="23" t="s">
        <v>10</v>
      </c>
      <c r="B34" s="30">
        <v>30</v>
      </c>
      <c r="C34" s="25">
        <v>55000</v>
      </c>
      <c r="D34" s="26" t="e">
        <f t="array" ref="D34">C34/#REF!</f>
        <v>#REF!</v>
      </c>
      <c r="E34" s="37">
        <f t="array" ref="E34">SUM(C28:C34)</f>
        <v>315000</v>
      </c>
      <c r="F34" s="3"/>
      <c r="G34" s="3"/>
      <c r="H34" s="32"/>
      <c r="I34" s="33"/>
    </row>
    <row r="35" spans="1:9" ht="35.450000000000003" customHeight="1" x14ac:dyDescent="0.35">
      <c r="A35" s="23" t="s">
        <v>11</v>
      </c>
      <c r="B35" s="40">
        <v>31</v>
      </c>
      <c r="C35" s="25">
        <v>30000</v>
      </c>
      <c r="D35" s="41" t="e">
        <f t="array" ref="D35">C35/#REF!</f>
        <v>#REF!</v>
      </c>
      <c r="E35" s="42"/>
      <c r="F35" s="2"/>
      <c r="G35" s="2"/>
      <c r="H35" s="43"/>
      <c r="I35" s="44"/>
    </row>
    <row r="36" spans="1:9" ht="35.450000000000003" customHeight="1" x14ac:dyDescent="0.35">
      <c r="A36" s="23" t="s">
        <v>12</v>
      </c>
      <c r="B36" s="45"/>
      <c r="C36" s="46"/>
      <c r="D36" s="47"/>
      <c r="E36" s="48"/>
      <c r="F36" s="1"/>
      <c r="G36" s="1"/>
      <c r="H36" s="49"/>
      <c r="I36" s="50"/>
    </row>
    <row r="37" spans="1:9" ht="35.450000000000003" customHeight="1" x14ac:dyDescent="0.35">
      <c r="A37" s="51" t="s">
        <v>17</v>
      </c>
      <c r="B37" s="52"/>
      <c r="C37" s="53">
        <f t="array" ref="C37">SUM(C5:C35)</f>
        <v>1380000</v>
      </c>
      <c r="D37" s="54"/>
      <c r="E37" s="54">
        <f t="array" ref="E37">SUM(E33+E26+E19+E12+E5)</f>
        <v>0</v>
      </c>
      <c r="F37" s="55"/>
      <c r="G37" s="56"/>
      <c r="H37" s="56"/>
      <c r="I37" s="57"/>
    </row>
    <row r="38" spans="1:9" ht="35.450000000000003" customHeight="1" x14ac:dyDescent="0.3">
      <c r="A38" s="58" t="s">
        <v>18</v>
      </c>
      <c r="B38" s="52"/>
      <c r="C38" s="59"/>
      <c r="D38" s="52"/>
      <c r="E38" s="52"/>
      <c r="F38" s="55"/>
      <c r="G38" s="56"/>
      <c r="H38" s="56"/>
      <c r="I38" s="57"/>
    </row>
    <row r="39" spans="1:9" ht="35.450000000000003" customHeight="1" x14ac:dyDescent="0.3">
      <c r="A39" s="58" t="s">
        <v>19</v>
      </c>
      <c r="B39" s="52"/>
      <c r="C39" s="60">
        <f t="array" ref="C39">C37-E37</f>
        <v>1380000</v>
      </c>
      <c r="D39" s="52"/>
      <c r="E39" s="52"/>
      <c r="F39" s="55"/>
      <c r="G39" s="56"/>
      <c r="H39" s="56"/>
      <c r="I39" s="57"/>
    </row>
    <row r="40" spans="1:9" ht="35.450000000000003" customHeight="1" x14ac:dyDescent="0.3">
      <c r="A40" s="58" t="s">
        <v>20</v>
      </c>
      <c r="B40" s="52"/>
      <c r="C40" s="61">
        <f t="array" ref="C40">E37/C37</f>
        <v>0</v>
      </c>
      <c r="D40" s="52"/>
      <c r="E40" s="52"/>
      <c r="F40" s="62"/>
      <c r="G40" s="63"/>
      <c r="H40" s="63"/>
      <c r="I40" s="64"/>
    </row>
  </sheetData>
  <mergeCells count="36">
    <mergeCell ref="F36:G36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A1:I1"/>
    <mergeCell ref="A2:B2"/>
    <mergeCell ref="B3:G3"/>
    <mergeCell ref="F4:G4"/>
    <mergeCell ref="F5:G5"/>
  </mergeCells>
  <pageMargins left="1" right="1" top="1" bottom="1" header="0.511811023622047" footer="0.25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Nhlakanipho Gift Khambule</cp:lastModifiedBy>
  <cp:revision>1</cp:revision>
  <dcterms:modified xsi:type="dcterms:W3CDTF">2026-08-31T13:23:25Z</dcterms:modified>
  <dc:language>en-ZA</dc:language>
</cp:coreProperties>
</file>